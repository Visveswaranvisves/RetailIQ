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tailIQ\excel\"/>
    </mc:Choice>
  </mc:AlternateContent>
  <xr:revisionPtr revIDLastSave="0" documentId="13_ncr:1_{81871FA6-E251-407D-B849-4351E8F66FA9}" xr6:coauthVersionLast="47" xr6:coauthVersionMax="47" xr10:uidLastSave="{00000000-0000-0000-0000-000000000000}"/>
  <bookViews>
    <workbookView xWindow="-96" yWindow="0" windowWidth="11712" windowHeight="12336" activeTab="2" xr2:uid="{8826B70C-D4BC-40BC-92ED-3870D25B85D5}"/>
  </bookViews>
  <sheets>
    <sheet name="Inputs" sheetId="1" r:id="rId1"/>
    <sheet name="Calculations" sheetId="2" r:id="rId2"/>
    <sheet name="Summar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3" l="1"/>
  <c r="B6" i="3"/>
  <c r="E3" i="2"/>
  <c r="B4" i="1" s="1"/>
  <c r="B2" i="2" s="1"/>
  <c r="B5" i="2" l="1"/>
  <c r="B2" i="3" s="1"/>
  <c r="B3" i="2"/>
  <c r="B4" i="2" s="1"/>
  <c r="B3" i="3" s="1"/>
  <c r="B7" i="2" l="1"/>
  <c r="B4" i="3" s="1"/>
  <c r="B8" i="2" l="1"/>
  <c r="B5" i="3" l="1"/>
  <c r="A10" i="3"/>
  <c r="B10" i="2"/>
</calcChain>
</file>

<file path=xl/sharedStrings.xml><?xml version="1.0" encoding="utf-8"?>
<sst xmlns="http://schemas.openxmlformats.org/spreadsheetml/2006/main" count="46" uniqueCount="39">
  <si>
    <t>Total active customers</t>
  </si>
  <si>
    <t>Current voucher adoption %</t>
  </si>
  <si>
    <t>Target voucher adoption % (what-if)</t>
  </si>
  <si>
    <t>Avg order value (BRL)</t>
  </si>
  <si>
    <t>Causal churn reduction from voucher</t>
  </si>
  <si>
    <t>Cost per voucher issued (BRL)</t>
  </si>
  <si>
    <t>Additional customers to target</t>
  </si>
  <si>
    <t>Additional vouchers needed</t>
  </si>
  <si>
    <t>Voucher program cost</t>
  </si>
  <si>
    <t>Customers retained due to vouchers</t>
  </si>
  <si>
    <t>Assumed repeat orders/year</t>
  </si>
  <si>
    <t>Revenue retained (annualized)</t>
  </si>
  <si>
    <t>Net ROI</t>
  </si>
  <si>
    <t>Additional Customers Retained</t>
  </si>
  <si>
    <t>Voucher Program Cost (BRL)</t>
  </si>
  <si>
    <t>Revenue Retained (BRL)</t>
  </si>
  <si>
    <t>Net ROI (BRL)</t>
  </si>
  <si>
    <t>Label</t>
  </si>
  <si>
    <t>Value</t>
  </si>
  <si>
    <t>Assumed repeat orders/year (retained customer)</t>
  </si>
  <si>
    <t>Assumptions: cost/voucher and repeat-orders/year are estimates for</t>
  </si>
  <si>
    <t>illustration; causal churn reduction is the measured DoWhy estimate</t>
  </si>
  <si>
    <t>from notebooks/19_causal_model_dowhy.ipynb.</t>
  </si>
  <si>
    <t>Source</t>
  </si>
  <si>
    <r>
      <t>customer_features</t>
    </r>
    <r>
      <rPr>
        <sz val="11"/>
        <color theme="1"/>
        <rFont val="Calibri"/>
        <family val="2"/>
        <scheme val="minor"/>
      </rPr>
      <t xml:space="preserve"> table, COUNT(customer_unique_id)</t>
    </r>
  </si>
  <si>
    <r>
      <t>treatment_voucher</t>
    </r>
    <r>
      <rPr>
        <sz val="11"/>
        <color theme="1"/>
        <rFont val="Calibri"/>
        <family val="2"/>
        <scheme val="minor"/>
      </rPr>
      <t xml:space="preserve"> mean, Day 8</t>
    </r>
  </si>
  <si>
    <t>Assumption (what-if scenario)</t>
  </si>
  <si>
    <r>
      <t>payments_clean</t>
    </r>
    <r>
      <rPr>
        <sz val="11"/>
        <color theme="1"/>
        <rFont val="Calibri"/>
        <family val="2"/>
        <scheme val="minor"/>
      </rPr>
      <t>, AVG(payment_value)</t>
    </r>
  </si>
  <si>
    <r>
      <t xml:space="preserve">DoWhy estimate, </t>
    </r>
    <r>
      <rPr>
        <sz val="10"/>
        <color theme="1"/>
        <rFont val="Arial Unicode MS"/>
        <family val="2"/>
      </rPr>
      <t>notebooks/19_causal_model_dowhy.ipynb</t>
    </r>
  </si>
  <si>
    <t>Assumption</t>
  </si>
  <si>
    <t>Assumption (conservative, given low overall repeat rate — see Week 1 findings)</t>
  </si>
  <si>
    <t>Repeat orders/year</t>
  </si>
  <si>
    <t>Scenario</t>
  </si>
  <si>
    <t>Moderate</t>
  </si>
  <si>
    <t>Target Adoption %</t>
  </si>
  <si>
    <t>Conservative</t>
  </si>
  <si>
    <t>Aggressive</t>
  </si>
  <si>
    <t>Sensitivity: Repeat Orders/Year</t>
  </si>
  <si>
    <t>Selected 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</si>
</sst>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0B49-B854-4590-8142-254105CF08A8}">
  <dimension ref="A1:C15"/>
  <sheetViews>
    <sheetView workbookViewId="0">
      <selection activeCell="B5" sqref="B5"/>
    </sheetView>
  </sheetViews>
  <sheetFormatPr defaultRowHeight="14.4" x14ac:dyDescent="0.3"/>
  <cols>
    <col min="1" max="1" width="41.21875" bestFit="1" customWidth="1"/>
    <col min="3" max="3" width="46.77734375" bestFit="1" customWidth="1"/>
  </cols>
  <sheetData>
    <row r="1" spans="1:3" x14ac:dyDescent="0.3">
      <c r="A1" s="2" t="s">
        <v>17</v>
      </c>
      <c r="B1" s="2" t="s">
        <v>18</v>
      </c>
      <c r="C1" s="2" t="s">
        <v>23</v>
      </c>
    </row>
    <row r="2" spans="1:3" ht="15" x14ac:dyDescent="0.35">
      <c r="A2" t="s">
        <v>0</v>
      </c>
      <c r="B2">
        <v>96096</v>
      </c>
      <c r="C2" s="1" t="s">
        <v>24</v>
      </c>
    </row>
    <row r="3" spans="1:3" ht="15" x14ac:dyDescent="0.35">
      <c r="A3" t="s">
        <v>1</v>
      </c>
      <c r="B3">
        <v>3.8800000000000001E-2</v>
      </c>
      <c r="C3" s="1" t="s">
        <v>25</v>
      </c>
    </row>
    <row r="4" spans="1:3" ht="15" x14ac:dyDescent="0.35">
      <c r="A4" s="1" t="s">
        <v>2</v>
      </c>
      <c r="B4">
        <f>Calculations!E3</f>
        <v>0.15</v>
      </c>
      <c r="C4" t="s">
        <v>26</v>
      </c>
    </row>
    <row r="5" spans="1:3" ht="15" x14ac:dyDescent="0.35">
      <c r="A5" t="s">
        <v>3</v>
      </c>
      <c r="B5">
        <v>154.11369999999999</v>
      </c>
      <c r="C5" s="1" t="s">
        <v>27</v>
      </c>
    </row>
    <row r="6" spans="1:3" ht="15" x14ac:dyDescent="0.35">
      <c r="A6" t="s">
        <v>4</v>
      </c>
      <c r="B6">
        <v>0.17480000000000001</v>
      </c>
      <c r="C6" t="s">
        <v>28</v>
      </c>
    </row>
    <row r="7" spans="1:3" ht="15" x14ac:dyDescent="0.35">
      <c r="A7" s="1" t="s">
        <v>5</v>
      </c>
      <c r="B7">
        <v>15</v>
      </c>
      <c r="C7" t="s">
        <v>29</v>
      </c>
    </row>
    <row r="8" spans="1:3" x14ac:dyDescent="0.3">
      <c r="A8" t="s">
        <v>19</v>
      </c>
      <c r="B8">
        <v>1.5</v>
      </c>
      <c r="C8" t="s">
        <v>30</v>
      </c>
    </row>
    <row r="13" spans="1:3" x14ac:dyDescent="0.3">
      <c r="A13" t="s">
        <v>20</v>
      </c>
    </row>
    <row r="14" spans="1:3" x14ac:dyDescent="0.3">
      <c r="A14" t="s">
        <v>21</v>
      </c>
    </row>
    <row r="15" spans="1:3" x14ac:dyDescent="0.3">
      <c r="A15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8DE61-AEDE-43EE-8E8B-D80190873088}">
  <dimension ref="A1:H14"/>
  <sheetViews>
    <sheetView workbookViewId="0">
      <selection activeCell="A10" sqref="A10:B14"/>
    </sheetView>
  </sheetViews>
  <sheetFormatPr defaultRowHeight="14.4" x14ac:dyDescent="0.3"/>
  <cols>
    <col min="1" max="1" width="30.88671875" bestFit="1" customWidth="1"/>
    <col min="2" max="2" width="11.5546875" bestFit="1" customWidth="1"/>
    <col min="5" max="5" width="11.88671875" bestFit="1" customWidth="1"/>
  </cols>
  <sheetData>
    <row r="1" spans="1:8" x14ac:dyDescent="0.3">
      <c r="A1" s="2" t="s">
        <v>17</v>
      </c>
      <c r="B1" s="2" t="s">
        <v>18</v>
      </c>
    </row>
    <row r="2" spans="1:8" ht="15" x14ac:dyDescent="0.35">
      <c r="A2" t="s">
        <v>6</v>
      </c>
      <c r="B2" s="1">
        <f>Inputs!B2*(Inputs!B4-Inputs!B3)</f>
        <v>10685.875199999999</v>
      </c>
      <c r="D2" s="2" t="s">
        <v>32</v>
      </c>
      <c r="E2" s="2" t="s">
        <v>35</v>
      </c>
      <c r="G2" s="3" t="s">
        <v>32</v>
      </c>
      <c r="H2" s="2" t="s">
        <v>34</v>
      </c>
    </row>
    <row r="3" spans="1:8" x14ac:dyDescent="0.3">
      <c r="A3" t="s">
        <v>7</v>
      </c>
      <c r="B3">
        <f>B2</f>
        <v>10685.875199999999</v>
      </c>
      <c r="E3">
        <f>VLOOKUP(E2, G3:H5, 2, FALSE)</f>
        <v>0.15</v>
      </c>
      <c r="G3" t="s">
        <v>35</v>
      </c>
      <c r="H3">
        <v>0.15</v>
      </c>
    </row>
    <row r="4" spans="1:8" x14ac:dyDescent="0.3">
      <c r="A4" t="s">
        <v>8</v>
      </c>
      <c r="B4">
        <f>B3*Inputs!B7</f>
        <v>160288.12799999997</v>
      </c>
      <c r="G4" t="s">
        <v>33</v>
      </c>
      <c r="H4">
        <v>0.3</v>
      </c>
    </row>
    <row r="5" spans="1:8" x14ac:dyDescent="0.3">
      <c r="A5" t="s">
        <v>9</v>
      </c>
      <c r="B5">
        <f>B2*Inputs!B6</f>
        <v>1867.89098496</v>
      </c>
      <c r="G5" t="s">
        <v>36</v>
      </c>
      <c r="H5">
        <v>0.5</v>
      </c>
    </row>
    <row r="6" spans="1:8" x14ac:dyDescent="0.3">
      <c r="A6" t="s">
        <v>10</v>
      </c>
      <c r="B6">
        <v>1.5</v>
      </c>
    </row>
    <row r="7" spans="1:8" x14ac:dyDescent="0.3">
      <c r="A7" t="s">
        <v>11</v>
      </c>
      <c r="B7">
        <f>B5*Inputs!B5*Calculations!B6</f>
        <v>431801.38633324497</v>
      </c>
    </row>
    <row r="8" spans="1:8" ht="15" x14ac:dyDescent="0.35">
      <c r="A8" t="s">
        <v>12</v>
      </c>
      <c r="B8" s="1">
        <f>B7-B4</f>
        <v>271513.258333245</v>
      </c>
    </row>
    <row r="9" spans="1:8" x14ac:dyDescent="0.3">
      <c r="A9" s="2" t="s">
        <v>37</v>
      </c>
    </row>
    <row r="10" spans="1:8" x14ac:dyDescent="0.3">
      <c r="A10" s="3" t="s">
        <v>31</v>
      </c>
      <c r="B10" s="3">
        <f>B8</f>
        <v>271513.258333245</v>
      </c>
    </row>
    <row r="11" spans="1:8" x14ac:dyDescent="0.3">
      <c r="A11" s="4">
        <v>0.5</v>
      </c>
      <c r="B11" s="4">
        <f t="dataTable" ref="B11:B14" dt2D="0" dtr="0" r1="B6"/>
        <v>-16354.332555584988</v>
      </c>
    </row>
    <row r="12" spans="1:8" x14ac:dyDescent="0.3">
      <c r="A12" s="4">
        <v>1</v>
      </c>
      <c r="B12" s="4">
        <v>127579.46288882999</v>
      </c>
    </row>
    <row r="13" spans="1:8" x14ac:dyDescent="0.3">
      <c r="A13" s="4">
        <v>1.5</v>
      </c>
      <c r="B13" s="4">
        <v>271513.258333245</v>
      </c>
    </row>
    <row r="14" spans="1:8" x14ac:dyDescent="0.3">
      <c r="A14" s="4">
        <v>2</v>
      </c>
      <c r="B14" s="4">
        <v>415447.05377765995</v>
      </c>
    </row>
  </sheetData>
  <dataValidations count="1">
    <dataValidation type="list" allowBlank="1" showInputMessage="1" showErrorMessage="1" sqref="E2" xr:uid="{D98ADDB3-9D83-4409-9231-0030D332677A}">
      <formula1>"Conservative,Moderate,Aggressive"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C8E11-81C0-4D9C-A7EF-65B0981625F5}">
  <dimension ref="A1:E10"/>
  <sheetViews>
    <sheetView tabSelected="1" zoomScale="64" workbookViewId="0">
      <selection activeCell="F14" sqref="F14"/>
    </sheetView>
  </sheetViews>
  <sheetFormatPr defaultRowHeight="14.4" x14ac:dyDescent="0.3"/>
  <cols>
    <col min="1" max="1" width="46.5546875" customWidth="1"/>
    <col min="2" max="2" width="12" bestFit="1" customWidth="1"/>
  </cols>
  <sheetData>
    <row r="1" spans="1:5" x14ac:dyDescent="0.3">
      <c r="A1" s="2" t="s">
        <v>17</v>
      </c>
      <c r="B1" s="2" t="s">
        <v>18</v>
      </c>
    </row>
    <row r="2" spans="1:5" x14ac:dyDescent="0.3">
      <c r="A2" t="s">
        <v>13</v>
      </c>
      <c r="B2">
        <f>Calculations!B5</f>
        <v>1867.89098496</v>
      </c>
    </row>
    <row r="3" spans="1:5" ht="15" x14ac:dyDescent="0.35">
      <c r="A3" t="s">
        <v>14</v>
      </c>
      <c r="B3" s="1">
        <f>Calculations!B4</f>
        <v>160288.12799999997</v>
      </c>
    </row>
    <row r="4" spans="1:5" ht="15" x14ac:dyDescent="0.35">
      <c r="A4" s="1" t="s">
        <v>15</v>
      </c>
      <c r="B4">
        <f>Calculations!B7</f>
        <v>431801.38633324497</v>
      </c>
    </row>
    <row r="5" spans="1:5" x14ac:dyDescent="0.3">
      <c r="A5" t="s">
        <v>16</v>
      </c>
      <c r="B5">
        <f>Calculations!B8</f>
        <v>271513.258333245</v>
      </c>
    </row>
    <row r="6" spans="1:5" x14ac:dyDescent="0.3">
      <c r="A6" t="s">
        <v>38</v>
      </c>
      <c r="B6" t="str">
        <f>Calculations!E2</f>
        <v>Conservative</v>
      </c>
    </row>
    <row r="7" spans="1:5" x14ac:dyDescent="0.3">
      <c r="A7" t="s">
        <v>34</v>
      </c>
      <c r="B7" s="5">
        <f>Inputs!B4</f>
        <v>0.15</v>
      </c>
    </row>
    <row r="10" spans="1:5" x14ac:dyDescent="0.3">
      <c r="A10" s="6" t="str">
        <f>CONCATENATE("At ", TEXT(Inputs!B4,"0%")," voucher adoption (", Calculations!E2, " scenario), projected net ROI is ", TEXT(Calculations!B8,"#,##0")," BRL, retaining ", TEXT(Calculations!B5,"#,##0")," customers.")</f>
        <v>At 15% voucher adoption (Conservative scenario), projected net ROI is 2,71,513 BRL, retaining 1,868 customers.</v>
      </c>
      <c r="B10" s="6"/>
      <c r="C10" s="6"/>
      <c r="D10" s="6"/>
      <c r="E10" s="6"/>
    </row>
  </sheetData>
  <mergeCells count="1">
    <mergeCell ref="A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Calculations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Visveswaran V</dc:creator>
  <cp:lastModifiedBy>Visveswaran V</cp:lastModifiedBy>
  <dcterms:created xsi:type="dcterms:W3CDTF">2026-07-26T11:30:35Z</dcterms:created>
  <dcterms:modified xsi:type="dcterms:W3CDTF">2026-07-27T14:57:54Z</dcterms:modified>
</cp:coreProperties>
</file>